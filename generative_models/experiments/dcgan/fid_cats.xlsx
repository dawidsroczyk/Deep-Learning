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ronikaGozdera\Downloads\"/>
    </mc:Choice>
  </mc:AlternateContent>
  <xr:revisionPtr revIDLastSave="0" documentId="13_ncr:1_{0F876DB2-D877-4D12-B0D3-457CEE7E72DF}" xr6:coauthVersionLast="47" xr6:coauthVersionMax="47" xr10:uidLastSave="{00000000-0000-0000-0000-000000000000}"/>
  <bookViews>
    <workbookView xWindow="-107" yWindow="-107" windowWidth="20847" windowHeight="11111" xr2:uid="{68084C1D-FADD-438A-9174-95C40CA1A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I52" i="1"/>
  <c r="H52" i="1"/>
  <c r="I56" i="1"/>
  <c r="H56" i="1"/>
  <c r="I55" i="1"/>
  <c r="H55" i="1"/>
  <c r="I54" i="1"/>
  <c r="H54" i="1"/>
  <c r="I53" i="1"/>
  <c r="H53" i="1"/>
  <c r="I47" i="1"/>
  <c r="H47" i="1"/>
  <c r="I46" i="1"/>
  <c r="H46" i="1"/>
  <c r="I48" i="1"/>
  <c r="H48" i="1"/>
  <c r="I41" i="1"/>
  <c r="H41" i="1"/>
  <c r="I42" i="1"/>
  <c r="H42" i="1"/>
  <c r="I40" i="1"/>
  <c r="H40" i="1"/>
  <c r="I36" i="1"/>
  <c r="H36" i="1"/>
  <c r="I37" i="1"/>
  <c r="H37" i="1"/>
  <c r="I35" i="1"/>
  <c r="H35" i="1"/>
  <c r="I29" i="1"/>
  <c r="H29" i="1"/>
  <c r="I31" i="1"/>
  <c r="H31" i="1"/>
  <c r="H30" i="1"/>
  <c r="I30" i="1"/>
  <c r="I23" i="1"/>
  <c r="I25" i="1"/>
  <c r="I2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</calcChain>
</file>

<file path=xl/sharedStrings.xml><?xml version="1.0" encoding="utf-8"?>
<sst xmlns="http://schemas.openxmlformats.org/spreadsheetml/2006/main" count="79" uniqueCount="31">
  <si>
    <t>config</t>
  </si>
  <si>
    <t>nz</t>
  </si>
  <si>
    <t>ngf</t>
  </si>
  <si>
    <t>ndf</t>
  </si>
  <si>
    <t>lr</t>
  </si>
  <si>
    <t>epochs</t>
  </si>
  <si>
    <t>beta1</t>
  </si>
  <si>
    <t>fid_42</t>
  </si>
  <si>
    <t>cfg0_nz100_ngf64_ndf64_lr0.0002_epochs120_beta10.5_seed42</t>
  </si>
  <si>
    <t>cfg1_nz120_ngf64_ndf64_lr0.0002_epochs120_beta10.5_seed42</t>
  </si>
  <si>
    <t>cfg2_nz64_ngf64_ndf64_lr0.0002_epochs120_beta10.5_seed42</t>
  </si>
  <si>
    <t>cfg3_nz100_ngf32_ndf64_lr0.0002_epochs120_beta10.5_seed42</t>
  </si>
  <si>
    <t>cfg4_nz100_ngf128_ndf64_lr0.0002_epochs120_beta10.5_seed42</t>
  </si>
  <si>
    <t>cfg5_nz100_ngf64_ndf32_lr0.0002_epochs120_beta10.5_seed42</t>
  </si>
  <si>
    <t>cfg6_nz100_ngf64_ndf128_lr0.0002_epochs120_beta10.5_seed42</t>
  </si>
  <si>
    <t>cfg7_nz100_ngf64_ndf64_lr0.0001_epochs120_beta10.5_seed42</t>
  </si>
  <si>
    <t>cfg8_nz100_ngf64_ndf64_lr0.0003_epochs120_beta10.5_seed42</t>
  </si>
  <si>
    <t>cfg9_nz100_ngf64_ndf64_lr0.0002_epochs150_beta10.5_seed42</t>
  </si>
  <si>
    <t>cfg10_nz100_ngf64_ndf64_lr0.0002_epochs200_beta10.5_seed42</t>
  </si>
  <si>
    <t>cfg11_nz100_ngf64_ndf64_lr0.0002_epochs120_beta10.6_seed42</t>
  </si>
  <si>
    <t>cfg12_nz100_ngf64_ndf64_lr0.0002_epochs120_beta10.4_seed42</t>
  </si>
  <si>
    <t>fid_43</t>
  </si>
  <si>
    <t>fid_44</t>
  </si>
  <si>
    <t>fid_45</t>
  </si>
  <si>
    <t>fid_46</t>
  </si>
  <si>
    <t>cfg13_nz100_ngf64_ndf64_lr0.0002_epochs250_beta10.5_seed42</t>
  </si>
  <si>
    <t>cfg14_nz64_ngf64_ndf64_lr0.0002_epochs250_beta10.5_seed42</t>
  </si>
  <si>
    <t>cfg15_nz100_ngf64_ndf64_lr0.0002_epochs400_beta10.5_seed42</t>
  </si>
  <si>
    <t>cfg16_nz64_ngf64_ndf64_lr0.0002_epochs400_beta10.5_seed42</t>
  </si>
  <si>
    <t>mean_fid</t>
  </si>
  <si>
    <t>std_fid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</si>
</sst>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3554-6620-4EFB-A186-F1C93F59732D}">
  <dimension ref="A1:N56"/>
  <sheetViews>
    <sheetView tabSelected="1" topLeftCell="A19" zoomScaleNormal="100" workbookViewId="0">
      <selection activeCell="B28" sqref="B28"/>
    </sheetView>
  </sheetViews>
  <sheetFormatPr defaultRowHeight="14" x14ac:dyDescent="0.3"/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21</v>
      </c>
      <c r="J1" s="2" t="s">
        <v>22</v>
      </c>
      <c r="K1" s="2" t="s">
        <v>23</v>
      </c>
      <c r="L1" s="2" t="s">
        <v>24</v>
      </c>
      <c r="M1" s="1" t="s">
        <v>29</v>
      </c>
      <c r="N1" s="1" t="s">
        <v>30</v>
      </c>
    </row>
    <row r="2" spans="1:14" x14ac:dyDescent="0.3">
      <c r="A2" t="s">
        <v>8</v>
      </c>
      <c r="B2">
        <v>100</v>
      </c>
      <c r="C2">
        <v>64</v>
      </c>
      <c r="D2">
        <v>64</v>
      </c>
      <c r="E2">
        <v>2.0000000000000001E-4</v>
      </c>
      <c r="F2">
        <v>120</v>
      </c>
      <c r="G2">
        <v>0.5</v>
      </c>
      <c r="H2">
        <v>151.3830871582031</v>
      </c>
      <c r="I2">
        <v>159.04673767089841</v>
      </c>
      <c r="J2">
        <v>134.47206115722659</v>
      </c>
      <c r="K2">
        <v>148.31620788574219</v>
      </c>
      <c r="L2">
        <v>130.28570556640619</v>
      </c>
      <c r="M2">
        <f>AVERAGE(H2:L2)</f>
        <v>144.70075988769531</v>
      </c>
      <c r="N2">
        <f>_xlfn.STDEV.S(H2:L2)</f>
        <v>11.999501128560706</v>
      </c>
    </row>
    <row r="3" spans="1:14" x14ac:dyDescent="0.3">
      <c r="A3" t="s">
        <v>9</v>
      </c>
      <c r="B3">
        <v>120</v>
      </c>
      <c r="C3">
        <v>64</v>
      </c>
      <c r="D3">
        <v>64</v>
      </c>
      <c r="E3">
        <v>2.0000000000000001E-4</v>
      </c>
      <c r="F3">
        <v>120</v>
      </c>
      <c r="G3">
        <v>0.5</v>
      </c>
      <c r="H3">
        <v>151.41656494140619</v>
      </c>
      <c r="I3">
        <v>162.73057556152341</v>
      </c>
      <c r="J3">
        <v>140.46726989746091</v>
      </c>
      <c r="K3">
        <v>145.1293640136719</v>
      </c>
      <c r="L3">
        <v>132.82206726074219</v>
      </c>
      <c r="M3">
        <f t="shared" ref="M3:M18" si="0">AVERAGE(H3:L3)</f>
        <v>146.51316833496091</v>
      </c>
      <c r="N3">
        <f t="shared" ref="N3:N18" si="1">_xlfn.STDEV.S(H3:L3)</f>
        <v>11.324328306492584</v>
      </c>
    </row>
    <row r="4" spans="1:14" x14ac:dyDescent="0.3">
      <c r="A4" t="s">
        <v>10</v>
      </c>
      <c r="B4">
        <v>64</v>
      </c>
      <c r="C4">
        <v>64</v>
      </c>
      <c r="D4">
        <v>64</v>
      </c>
      <c r="E4">
        <v>2.0000000000000001E-4</v>
      </c>
      <c r="F4">
        <v>120</v>
      </c>
      <c r="G4">
        <v>0.5</v>
      </c>
      <c r="H4">
        <v>140.31382751464841</v>
      </c>
      <c r="I4">
        <v>158.83946228027341</v>
      </c>
      <c r="J4">
        <v>138.71214294433591</v>
      </c>
      <c r="K4">
        <v>153.37565612792969</v>
      </c>
      <c r="L4">
        <v>146.44300842285159</v>
      </c>
      <c r="M4">
        <f t="shared" si="0"/>
        <v>147.53681945800778</v>
      </c>
      <c r="N4">
        <f t="shared" si="1"/>
        <v>8.5598583398201349</v>
      </c>
    </row>
    <row r="5" spans="1:14" x14ac:dyDescent="0.3">
      <c r="A5" t="s">
        <v>11</v>
      </c>
      <c r="B5">
        <v>100</v>
      </c>
      <c r="C5">
        <v>32</v>
      </c>
      <c r="D5">
        <v>64</v>
      </c>
      <c r="E5">
        <v>2.0000000000000001E-4</v>
      </c>
      <c r="F5">
        <v>120</v>
      </c>
      <c r="G5">
        <v>0.5</v>
      </c>
      <c r="H5">
        <v>171.66131591796881</v>
      </c>
      <c r="I5">
        <v>149.0505676269531</v>
      </c>
      <c r="J5">
        <v>133.79150390625</v>
      </c>
      <c r="K5">
        <v>153.28800964355469</v>
      </c>
      <c r="L5">
        <v>149.15107727050781</v>
      </c>
      <c r="M5">
        <f>AVERAGE(H5:L5)</f>
        <v>151.38849487304688</v>
      </c>
      <c r="N5">
        <f>_xlfn.STDEV.S(H5:L5)</f>
        <v>13.552872960229845</v>
      </c>
    </row>
    <row r="6" spans="1:14" x14ac:dyDescent="0.3">
      <c r="A6" t="s">
        <v>12</v>
      </c>
      <c r="B6">
        <v>100</v>
      </c>
      <c r="C6">
        <v>128</v>
      </c>
      <c r="D6">
        <v>64</v>
      </c>
      <c r="E6">
        <v>2.0000000000000001E-4</v>
      </c>
      <c r="F6">
        <v>120</v>
      </c>
      <c r="G6">
        <v>0.5</v>
      </c>
      <c r="H6">
        <v>154.45855712890619</v>
      </c>
      <c r="I6">
        <v>158.27082824707031</v>
      </c>
      <c r="J6">
        <v>144.4892883300781</v>
      </c>
      <c r="K6">
        <v>152.96844482421881</v>
      </c>
      <c r="L6">
        <v>145.5303039550781</v>
      </c>
      <c r="M6">
        <f>AVERAGE(H6:L6)</f>
        <v>151.14348449707032</v>
      </c>
      <c r="N6">
        <f>_xlfn.STDEV.S(H6:L6)</f>
        <v>5.9351777165155548</v>
      </c>
    </row>
    <row r="7" spans="1:14" x14ac:dyDescent="0.3">
      <c r="A7" t="s">
        <v>13</v>
      </c>
      <c r="B7">
        <v>100</v>
      </c>
      <c r="C7">
        <v>64</v>
      </c>
      <c r="D7">
        <v>32</v>
      </c>
      <c r="E7">
        <v>2.0000000000000001E-4</v>
      </c>
      <c r="F7">
        <v>120</v>
      </c>
      <c r="G7">
        <v>0.5</v>
      </c>
      <c r="H7">
        <v>166.8028869628906</v>
      </c>
      <c r="I7">
        <v>158.65122985839841</v>
      </c>
      <c r="J7">
        <v>160.1426086425781</v>
      </c>
      <c r="K7">
        <v>162.05340576171881</v>
      </c>
      <c r="L7">
        <v>161.6764221191406</v>
      </c>
      <c r="M7">
        <f t="shared" si="0"/>
        <v>161.86531066894531</v>
      </c>
      <c r="N7">
        <f t="shared" si="1"/>
        <v>3.0720000014273601</v>
      </c>
    </row>
    <row r="8" spans="1:14" x14ac:dyDescent="0.3">
      <c r="A8" t="s">
        <v>14</v>
      </c>
      <c r="B8">
        <v>100</v>
      </c>
      <c r="C8">
        <v>64</v>
      </c>
      <c r="D8">
        <v>128</v>
      </c>
      <c r="E8">
        <v>2.0000000000000001E-4</v>
      </c>
      <c r="F8">
        <v>120</v>
      </c>
      <c r="G8">
        <v>0.5</v>
      </c>
      <c r="H8">
        <v>353.22000122070313</v>
      </c>
      <c r="I8">
        <v>146.1767578125</v>
      </c>
      <c r="J8">
        <v>317.9066162109375</v>
      </c>
      <c r="K8">
        <v>282.105224609375</v>
      </c>
      <c r="L8">
        <v>337.47064208984381</v>
      </c>
      <c r="M8">
        <f t="shared" si="0"/>
        <v>287.3758483886719</v>
      </c>
      <c r="N8">
        <f t="shared" si="1"/>
        <v>83.2796962898354</v>
      </c>
    </row>
    <row r="9" spans="1:14" x14ac:dyDescent="0.3">
      <c r="A9" t="s">
        <v>15</v>
      </c>
      <c r="B9">
        <v>100</v>
      </c>
      <c r="C9">
        <v>64</v>
      </c>
      <c r="D9">
        <v>64</v>
      </c>
      <c r="E9">
        <v>1E-4</v>
      </c>
      <c r="F9">
        <v>120</v>
      </c>
      <c r="G9">
        <v>0.5</v>
      </c>
      <c r="H9">
        <v>174.2909851074219</v>
      </c>
      <c r="I9">
        <v>156.38720703125</v>
      </c>
      <c r="J9">
        <v>205.21089172363281</v>
      </c>
      <c r="K9">
        <v>149.0870666503906</v>
      </c>
      <c r="L9">
        <v>146.76197814941409</v>
      </c>
      <c r="M9">
        <f t="shared" si="0"/>
        <v>166.34762573242188</v>
      </c>
      <c r="N9">
        <f t="shared" si="1"/>
        <v>24.259971318185531</v>
      </c>
    </row>
    <row r="10" spans="1:14" x14ac:dyDescent="0.3">
      <c r="A10" t="s">
        <v>16</v>
      </c>
      <c r="B10">
        <v>100</v>
      </c>
      <c r="C10">
        <v>64</v>
      </c>
      <c r="D10">
        <v>64</v>
      </c>
      <c r="E10">
        <v>2.9999999999999997E-4</v>
      </c>
      <c r="F10">
        <v>120</v>
      </c>
      <c r="G10">
        <v>0.5</v>
      </c>
      <c r="H10">
        <v>152.22370910644531</v>
      </c>
      <c r="I10">
        <v>144.22648620605469</v>
      </c>
      <c r="J10">
        <v>144.6404113769531</v>
      </c>
      <c r="K10">
        <v>127.71775817871089</v>
      </c>
      <c r="L10">
        <v>132.78485107421881</v>
      </c>
      <c r="M10">
        <f t="shared" si="0"/>
        <v>140.31864318847656</v>
      </c>
      <c r="N10">
        <f t="shared" si="1"/>
        <v>9.8896390036028663</v>
      </c>
    </row>
    <row r="11" spans="1:14" x14ac:dyDescent="0.3">
      <c r="A11" t="s">
        <v>17</v>
      </c>
      <c r="B11">
        <v>100</v>
      </c>
      <c r="C11">
        <v>64</v>
      </c>
      <c r="D11">
        <v>64</v>
      </c>
      <c r="E11">
        <v>2.0000000000000001E-4</v>
      </c>
      <c r="F11">
        <v>150</v>
      </c>
      <c r="G11">
        <v>0.5</v>
      </c>
      <c r="H11">
        <v>141.27372741699219</v>
      </c>
      <c r="I11">
        <v>143.2638854980469</v>
      </c>
      <c r="J11">
        <v>137.30033874511719</v>
      </c>
      <c r="K11">
        <v>150.01416015625</v>
      </c>
      <c r="L11">
        <v>147.51255798339841</v>
      </c>
      <c r="M11">
        <f t="shared" si="0"/>
        <v>143.87293395996093</v>
      </c>
      <c r="N11">
        <f t="shared" si="1"/>
        <v>5.0320807020090745</v>
      </c>
    </row>
    <row r="12" spans="1:14" x14ac:dyDescent="0.3">
      <c r="A12" t="s">
        <v>18</v>
      </c>
      <c r="B12">
        <v>100</v>
      </c>
      <c r="C12">
        <v>64</v>
      </c>
      <c r="D12">
        <v>64</v>
      </c>
      <c r="E12">
        <v>2.0000000000000001E-4</v>
      </c>
      <c r="F12">
        <v>200</v>
      </c>
      <c r="G12">
        <v>0.5</v>
      </c>
      <c r="H12">
        <v>152.3365783691406</v>
      </c>
      <c r="I12">
        <v>138.6849365234375</v>
      </c>
      <c r="J12">
        <v>134.0533142089844</v>
      </c>
      <c r="K12">
        <v>139.77244567871091</v>
      </c>
      <c r="L12">
        <v>154.40350341796881</v>
      </c>
      <c r="M12">
        <f t="shared" si="0"/>
        <v>143.85015563964845</v>
      </c>
      <c r="N12">
        <f t="shared" si="1"/>
        <v>8.9816177431378694</v>
      </c>
    </row>
    <row r="13" spans="1:14" x14ac:dyDescent="0.3">
      <c r="A13" t="s">
        <v>19</v>
      </c>
      <c r="B13">
        <v>100</v>
      </c>
      <c r="C13">
        <v>64</v>
      </c>
      <c r="D13">
        <v>64</v>
      </c>
      <c r="E13">
        <v>2.0000000000000001E-4</v>
      </c>
      <c r="F13">
        <v>120</v>
      </c>
      <c r="G13">
        <v>0.6</v>
      </c>
      <c r="H13">
        <v>147.8294677734375</v>
      </c>
      <c r="I13">
        <v>159.335205078125</v>
      </c>
      <c r="J13">
        <v>141.55003356933591</v>
      </c>
      <c r="K13">
        <v>140.5928649902344</v>
      </c>
      <c r="L13">
        <v>150.0760803222656</v>
      </c>
      <c r="M13">
        <f t="shared" si="0"/>
        <v>147.87673034667969</v>
      </c>
      <c r="N13">
        <f t="shared" si="1"/>
        <v>7.5699703414277959</v>
      </c>
    </row>
    <row r="14" spans="1:14" x14ac:dyDescent="0.3">
      <c r="A14" t="s">
        <v>20</v>
      </c>
      <c r="B14">
        <v>100</v>
      </c>
      <c r="C14">
        <v>64</v>
      </c>
      <c r="D14">
        <v>64</v>
      </c>
      <c r="E14">
        <v>2.0000000000000001E-4</v>
      </c>
      <c r="F14">
        <v>120</v>
      </c>
      <c r="G14">
        <v>0.4</v>
      </c>
      <c r="H14">
        <v>141.6534729003906</v>
      </c>
      <c r="I14">
        <v>143.29618835449219</v>
      </c>
      <c r="J14">
        <v>133.97499084472659</v>
      </c>
      <c r="K14">
        <v>132.477783203125</v>
      </c>
      <c r="L14">
        <v>135.56831359863281</v>
      </c>
      <c r="M14">
        <f t="shared" si="0"/>
        <v>137.39414978027344</v>
      </c>
      <c r="N14">
        <f t="shared" si="1"/>
        <v>4.8002832906702171</v>
      </c>
    </row>
    <row r="15" spans="1:14" x14ac:dyDescent="0.3">
      <c r="A15" t="s">
        <v>25</v>
      </c>
      <c r="B15">
        <v>100</v>
      </c>
      <c r="C15">
        <v>64</v>
      </c>
      <c r="D15">
        <v>64</v>
      </c>
      <c r="E15">
        <v>2.0000000000000001E-4</v>
      </c>
      <c r="F15">
        <v>250</v>
      </c>
      <c r="G15">
        <v>0.5</v>
      </c>
      <c r="H15">
        <v>135.6079406738281</v>
      </c>
      <c r="I15">
        <v>148.4432067871094</v>
      </c>
      <c r="J15">
        <v>152.3642272949219</v>
      </c>
      <c r="K15">
        <v>153.7471618652344</v>
      </c>
      <c r="L15">
        <v>160.49839782714841</v>
      </c>
      <c r="M15">
        <f t="shared" si="0"/>
        <v>150.13218688964844</v>
      </c>
      <c r="N15">
        <f t="shared" si="1"/>
        <v>9.2102491764633374</v>
      </c>
    </row>
    <row r="16" spans="1:14" x14ac:dyDescent="0.3">
      <c r="A16" t="s">
        <v>26</v>
      </c>
      <c r="B16">
        <v>64</v>
      </c>
      <c r="C16">
        <v>64</v>
      </c>
      <c r="D16">
        <v>64</v>
      </c>
      <c r="E16">
        <v>2.0000000000000001E-4</v>
      </c>
      <c r="F16">
        <v>250</v>
      </c>
      <c r="G16">
        <v>0.5</v>
      </c>
      <c r="H16">
        <v>150.0025939941406</v>
      </c>
      <c r="I16">
        <v>153.25428771972659</v>
      </c>
      <c r="J16">
        <v>149.3999328613281</v>
      </c>
      <c r="K16">
        <v>146.1019592285156</v>
      </c>
      <c r="L16">
        <v>172.5157165527344</v>
      </c>
      <c r="M16">
        <f t="shared" si="0"/>
        <v>154.25489807128906</v>
      </c>
      <c r="N16">
        <f t="shared" si="1"/>
        <v>10.518815304211055</v>
      </c>
    </row>
    <row r="17" spans="1:14" x14ac:dyDescent="0.3">
      <c r="A17" t="s">
        <v>27</v>
      </c>
      <c r="B17">
        <v>100</v>
      </c>
      <c r="C17">
        <v>64</v>
      </c>
      <c r="D17">
        <v>64</v>
      </c>
      <c r="E17">
        <v>2.0000000000000001E-4</v>
      </c>
      <c r="F17">
        <v>400</v>
      </c>
      <c r="G17">
        <v>0.5</v>
      </c>
      <c r="H17">
        <v>153.17753601074219</v>
      </c>
      <c r="I17">
        <v>142.2877197265625</v>
      </c>
      <c r="J17">
        <v>140.61688232421881</v>
      </c>
      <c r="K17">
        <v>143.37931823730469</v>
      </c>
      <c r="L17">
        <v>136.76336669921881</v>
      </c>
      <c r="M17">
        <f t="shared" si="0"/>
        <v>143.24496459960938</v>
      </c>
      <c r="N17">
        <f t="shared" si="1"/>
        <v>6.0931984883302235</v>
      </c>
    </row>
    <row r="18" spans="1:14" x14ac:dyDescent="0.3">
      <c r="A18" t="s">
        <v>28</v>
      </c>
      <c r="B18">
        <v>64</v>
      </c>
      <c r="C18">
        <v>64</v>
      </c>
      <c r="D18">
        <v>64</v>
      </c>
      <c r="E18">
        <v>2.0000000000000001E-4</v>
      </c>
      <c r="F18">
        <v>400</v>
      </c>
      <c r="G18">
        <v>0.5</v>
      </c>
      <c r="H18">
        <v>148.02470397949219</v>
      </c>
      <c r="I18">
        <v>144.78477478027341</v>
      </c>
      <c r="J18">
        <v>141.51774597167969</v>
      </c>
      <c r="K18">
        <v>138.5924987792969</v>
      </c>
      <c r="L18">
        <v>151.8443603515625</v>
      </c>
      <c r="M18">
        <f t="shared" si="0"/>
        <v>144.95281677246095</v>
      </c>
      <c r="N18">
        <f t="shared" si="1"/>
        <v>5.225214311563275</v>
      </c>
    </row>
    <row r="22" spans="1:14" x14ac:dyDescent="0.3">
      <c r="B22" t="s">
        <v>1</v>
      </c>
      <c r="C22" s="2" t="s">
        <v>7</v>
      </c>
      <c r="D22" s="2" t="s">
        <v>21</v>
      </c>
      <c r="E22" s="2" t="s">
        <v>22</v>
      </c>
      <c r="F22" s="2" t="s">
        <v>23</v>
      </c>
      <c r="G22" s="2" t="s">
        <v>24</v>
      </c>
      <c r="H22" s="1" t="s">
        <v>29</v>
      </c>
      <c r="I22" s="1" t="s">
        <v>30</v>
      </c>
    </row>
    <row r="23" spans="1:14" x14ac:dyDescent="0.3">
      <c r="B23">
        <v>64</v>
      </c>
      <c r="C23">
        <v>140.31382751464841</v>
      </c>
      <c r="D23">
        <v>158.83946228027341</v>
      </c>
      <c r="E23">
        <v>138.71214294433591</v>
      </c>
      <c r="F23">
        <v>153.37565612792969</v>
      </c>
      <c r="G23">
        <v>146.44300842285159</v>
      </c>
      <c r="H23">
        <f>AVERAGE(C23:G23)</f>
        <v>147.53681945800778</v>
      </c>
      <c r="I23">
        <f>_xlfn.STDEV.S(C23:G23)</f>
        <v>8.5598583398201349</v>
      </c>
    </row>
    <row r="24" spans="1:14" x14ac:dyDescent="0.3">
      <c r="B24">
        <v>100</v>
      </c>
      <c r="C24">
        <v>151.3830871582031</v>
      </c>
      <c r="D24">
        <v>159.04673767089841</v>
      </c>
      <c r="E24">
        <v>134.47206115722659</v>
      </c>
      <c r="F24">
        <v>148.31620788574219</v>
      </c>
      <c r="G24">
        <v>130.28570556640619</v>
      </c>
      <c r="H24">
        <f>AVERAGE(C24:G24)</f>
        <v>144.70075988769531</v>
      </c>
      <c r="I24">
        <f>_xlfn.STDEV.S(C24:G24)</f>
        <v>11.999501128560706</v>
      </c>
    </row>
    <row r="25" spans="1:14" x14ac:dyDescent="0.3">
      <c r="B25">
        <v>120</v>
      </c>
      <c r="C25">
        <v>151.41656494140619</v>
      </c>
      <c r="D25">
        <v>162.73057556152341</v>
      </c>
      <c r="E25">
        <v>140.46726989746091</v>
      </c>
      <c r="F25">
        <v>145.1293640136719</v>
      </c>
      <c r="G25">
        <v>132.82206726074219</v>
      </c>
      <c r="H25">
        <f>AVERAGE(C25:G25)</f>
        <v>146.51316833496091</v>
      </c>
      <c r="I25">
        <f>_xlfn.STDEV.S(C25:G25)</f>
        <v>11.324328306492584</v>
      </c>
    </row>
    <row r="28" spans="1:14" x14ac:dyDescent="0.3">
      <c r="B28" t="s">
        <v>2</v>
      </c>
      <c r="C28" s="2" t="s">
        <v>7</v>
      </c>
      <c r="D28" s="2" t="s">
        <v>21</v>
      </c>
      <c r="E28" s="2" t="s">
        <v>22</v>
      </c>
      <c r="F28" s="2" t="s">
        <v>23</v>
      </c>
      <c r="G28" s="2" t="s">
        <v>24</v>
      </c>
      <c r="H28" s="1" t="s">
        <v>29</v>
      </c>
      <c r="I28" s="1" t="s">
        <v>30</v>
      </c>
    </row>
    <row r="29" spans="1:14" x14ac:dyDescent="0.3">
      <c r="B29">
        <v>32</v>
      </c>
      <c r="C29">
        <v>171.66131591796881</v>
      </c>
      <c r="D29">
        <v>149.0505676269531</v>
      </c>
      <c r="E29">
        <v>133.79150390625</v>
      </c>
      <c r="F29">
        <v>153.28800964355469</v>
      </c>
      <c r="G29">
        <v>149.15107727050781</v>
      </c>
      <c r="H29">
        <f>AVERAGE(C29:G29)</f>
        <v>151.38849487304688</v>
      </c>
      <c r="I29">
        <f>_xlfn.STDEV.S(C29:G29)</f>
        <v>13.552872960229845</v>
      </c>
    </row>
    <row r="30" spans="1:14" x14ac:dyDescent="0.3">
      <c r="B30">
        <v>64</v>
      </c>
      <c r="C30">
        <v>151.3830871582031</v>
      </c>
      <c r="D30">
        <v>159.04673767089841</v>
      </c>
      <c r="E30">
        <v>134.47206115722659</v>
      </c>
      <c r="F30">
        <v>148.31620788574219</v>
      </c>
      <c r="G30">
        <v>130.28570556640619</v>
      </c>
      <c r="H30">
        <f>AVERAGE(C30:G30)</f>
        <v>144.70075988769531</v>
      </c>
      <c r="I30">
        <f>_xlfn.STDEV.S(C30:G30)</f>
        <v>11.999501128560706</v>
      </c>
    </row>
    <row r="31" spans="1:14" x14ac:dyDescent="0.3">
      <c r="B31">
        <v>128</v>
      </c>
      <c r="C31">
        <v>154.45855712890619</v>
      </c>
      <c r="D31">
        <v>158.27082824707031</v>
      </c>
      <c r="E31">
        <v>144.4892883300781</v>
      </c>
      <c r="F31">
        <v>152.96844482421881</v>
      </c>
      <c r="G31">
        <v>145.5303039550781</v>
      </c>
      <c r="H31">
        <f>AVERAGE(C31:G31)</f>
        <v>151.14348449707032</v>
      </c>
      <c r="I31">
        <f>_xlfn.STDEV.S(C31:G31)</f>
        <v>5.9351777165155548</v>
      </c>
    </row>
    <row r="34" spans="2:9" x14ac:dyDescent="0.3">
      <c r="B34" s="2" t="s">
        <v>3</v>
      </c>
      <c r="C34" s="2" t="s">
        <v>7</v>
      </c>
      <c r="D34" s="2" t="s">
        <v>21</v>
      </c>
      <c r="E34" s="2" t="s">
        <v>22</v>
      </c>
      <c r="F34" s="2" t="s">
        <v>23</v>
      </c>
      <c r="G34" s="2" t="s">
        <v>24</v>
      </c>
      <c r="H34" s="1" t="s">
        <v>29</v>
      </c>
      <c r="I34" s="1" t="s">
        <v>30</v>
      </c>
    </row>
    <row r="35" spans="2:9" x14ac:dyDescent="0.3">
      <c r="B35">
        <v>32</v>
      </c>
      <c r="C35">
        <v>166.8028869628906</v>
      </c>
      <c r="D35">
        <v>158.65122985839841</v>
      </c>
      <c r="E35">
        <v>160.1426086425781</v>
      </c>
      <c r="F35">
        <v>162.05340576171881</v>
      </c>
      <c r="G35">
        <v>161.6764221191406</v>
      </c>
      <c r="H35">
        <f t="shared" ref="H35" si="2">AVERAGE(C35:G35)</f>
        <v>161.86531066894531</v>
      </c>
      <c r="I35">
        <f t="shared" ref="I35" si="3">_xlfn.STDEV.S(C35:G35)</f>
        <v>3.0720000014273601</v>
      </c>
    </row>
    <row r="36" spans="2:9" x14ac:dyDescent="0.3">
      <c r="B36">
        <v>64</v>
      </c>
      <c r="C36">
        <v>151.3830871582031</v>
      </c>
      <c r="D36">
        <v>159.04673767089841</v>
      </c>
      <c r="E36">
        <v>134.47206115722659</v>
      </c>
      <c r="F36">
        <v>148.31620788574219</v>
      </c>
      <c r="G36">
        <v>130.28570556640619</v>
      </c>
      <c r="H36">
        <f>AVERAGE(C36:G36)</f>
        <v>144.70075988769531</v>
      </c>
      <c r="I36">
        <f>_xlfn.STDEV.S(C36:G36)</f>
        <v>11.999501128560706</v>
      </c>
    </row>
    <row r="37" spans="2:9" x14ac:dyDescent="0.3">
      <c r="B37">
        <v>128</v>
      </c>
      <c r="C37">
        <v>353.22000122070313</v>
      </c>
      <c r="D37">
        <v>146.1767578125</v>
      </c>
      <c r="E37">
        <v>317.9066162109375</v>
      </c>
      <c r="F37">
        <v>282.105224609375</v>
      </c>
      <c r="G37">
        <v>337.47064208984381</v>
      </c>
      <c r="H37">
        <f>AVERAGE(C37:G37)</f>
        <v>287.3758483886719</v>
      </c>
      <c r="I37">
        <f>_xlfn.STDEV.S(C37:G37)</f>
        <v>83.2796962898354</v>
      </c>
    </row>
    <row r="39" spans="2:9" x14ac:dyDescent="0.3">
      <c r="B39" t="s">
        <v>4</v>
      </c>
      <c r="C39" s="2" t="s">
        <v>7</v>
      </c>
      <c r="D39" s="2" t="s">
        <v>21</v>
      </c>
      <c r="E39" s="2" t="s">
        <v>22</v>
      </c>
      <c r="F39" s="2" t="s">
        <v>23</v>
      </c>
      <c r="G39" s="2" t="s">
        <v>24</v>
      </c>
      <c r="H39" s="1" t="s">
        <v>29</v>
      </c>
      <c r="I39" s="1" t="s">
        <v>30</v>
      </c>
    </row>
    <row r="40" spans="2:9" x14ac:dyDescent="0.3">
      <c r="B40">
        <v>1E-4</v>
      </c>
      <c r="C40">
        <v>174.2909851074219</v>
      </c>
      <c r="D40">
        <v>156.38720703125</v>
      </c>
      <c r="E40">
        <v>205.21089172363281</v>
      </c>
      <c r="F40">
        <v>149.0870666503906</v>
      </c>
      <c r="G40">
        <v>146.76197814941409</v>
      </c>
      <c r="H40">
        <f t="shared" ref="H40" si="4">AVERAGE(C40:G40)</f>
        <v>166.34762573242188</v>
      </c>
      <c r="I40">
        <f t="shared" ref="I40" si="5">_xlfn.STDEV.S(C40:G40)</f>
        <v>24.259971318185531</v>
      </c>
    </row>
    <row r="41" spans="2:9" x14ac:dyDescent="0.3">
      <c r="B41">
        <v>2.0000000000000001E-4</v>
      </c>
      <c r="C41">
        <v>151.3830871582031</v>
      </c>
      <c r="D41">
        <v>159.04673767089841</v>
      </c>
      <c r="E41">
        <v>134.47206115722659</v>
      </c>
      <c r="F41">
        <v>148.31620788574219</v>
      </c>
      <c r="G41">
        <v>130.28570556640619</v>
      </c>
      <c r="H41">
        <f>AVERAGE(C41:G41)</f>
        <v>144.70075988769531</v>
      </c>
      <c r="I41">
        <f>_xlfn.STDEV.S(C41:G41)</f>
        <v>11.999501128560706</v>
      </c>
    </row>
    <row r="42" spans="2:9" x14ac:dyDescent="0.3">
      <c r="B42">
        <v>2.9999999999999997E-4</v>
      </c>
      <c r="C42">
        <v>152.22370910644531</v>
      </c>
      <c r="D42">
        <v>144.22648620605469</v>
      </c>
      <c r="E42">
        <v>144.6404113769531</v>
      </c>
      <c r="F42">
        <v>127.71775817871089</v>
      </c>
      <c r="G42">
        <v>132.78485107421881</v>
      </c>
      <c r="H42">
        <f>AVERAGE(C42:G42)</f>
        <v>140.31864318847656</v>
      </c>
      <c r="I42">
        <f>_xlfn.STDEV.S(C42:G42)</f>
        <v>9.8896390036028663</v>
      </c>
    </row>
    <row r="45" spans="2:9" x14ac:dyDescent="0.3">
      <c r="B45" t="s">
        <v>6</v>
      </c>
      <c r="C45" s="2" t="s">
        <v>7</v>
      </c>
      <c r="D45" s="2" t="s">
        <v>21</v>
      </c>
      <c r="E45" s="2" t="s">
        <v>22</v>
      </c>
      <c r="F45" s="2" t="s">
        <v>23</v>
      </c>
      <c r="G45" s="2" t="s">
        <v>24</v>
      </c>
      <c r="H45" s="1" t="s">
        <v>29</v>
      </c>
      <c r="I45" s="1" t="s">
        <v>30</v>
      </c>
    </row>
    <row r="46" spans="2:9" x14ac:dyDescent="0.3">
      <c r="B46">
        <v>0.4</v>
      </c>
      <c r="C46">
        <v>141.6534729003906</v>
      </c>
      <c r="D46">
        <v>143.29618835449219</v>
      </c>
      <c r="E46">
        <v>133.97499084472659</v>
      </c>
      <c r="F46">
        <v>132.477783203125</v>
      </c>
      <c r="G46">
        <v>135.56831359863281</v>
      </c>
      <c r="H46">
        <f t="shared" ref="H46" si="6">AVERAGE(C46:G46)</f>
        <v>137.39414978027344</v>
      </c>
      <c r="I46">
        <f t="shared" ref="I46" si="7">_xlfn.STDEV.S(C46:G46)</f>
        <v>4.8002832906702171</v>
      </c>
    </row>
    <row r="47" spans="2:9" x14ac:dyDescent="0.3">
      <c r="B47">
        <v>0.5</v>
      </c>
      <c r="C47">
        <v>151.3830871582031</v>
      </c>
      <c r="D47">
        <v>159.04673767089841</v>
      </c>
      <c r="E47">
        <v>134.47206115722659</v>
      </c>
      <c r="F47">
        <v>148.31620788574219</v>
      </c>
      <c r="G47">
        <v>130.28570556640619</v>
      </c>
      <c r="H47">
        <f>AVERAGE(C47:G47)</f>
        <v>144.70075988769531</v>
      </c>
      <c r="I47">
        <f>_xlfn.STDEV.S(C47:G47)</f>
        <v>11.999501128560706</v>
      </c>
    </row>
    <row r="48" spans="2:9" x14ac:dyDescent="0.3">
      <c r="B48">
        <v>0.6</v>
      </c>
      <c r="C48">
        <v>147.8294677734375</v>
      </c>
      <c r="D48">
        <v>159.335205078125</v>
      </c>
      <c r="E48">
        <v>141.55003356933591</v>
      </c>
      <c r="F48">
        <v>140.5928649902344</v>
      </c>
      <c r="G48">
        <v>150.0760803222656</v>
      </c>
      <c r="H48">
        <f>AVERAGE(C48:G48)</f>
        <v>147.87673034667969</v>
      </c>
      <c r="I48">
        <f>_xlfn.STDEV.S(C48:G48)</f>
        <v>7.5699703414277959</v>
      </c>
    </row>
    <row r="51" spans="2:9" x14ac:dyDescent="0.3">
      <c r="B51" t="s">
        <v>5</v>
      </c>
      <c r="C51" s="2" t="s">
        <v>7</v>
      </c>
      <c r="D51" s="2" t="s">
        <v>21</v>
      </c>
      <c r="E51" s="2" t="s">
        <v>22</v>
      </c>
      <c r="F51" s="2" t="s">
        <v>23</v>
      </c>
      <c r="G51" s="2" t="s">
        <v>24</v>
      </c>
      <c r="H51" s="1" t="s">
        <v>29</v>
      </c>
      <c r="I51" s="1" t="s">
        <v>30</v>
      </c>
    </row>
    <row r="52" spans="2:9" x14ac:dyDescent="0.3">
      <c r="B52">
        <v>120</v>
      </c>
      <c r="C52">
        <v>151.3830871582031</v>
      </c>
      <c r="D52">
        <v>159.04673767089841</v>
      </c>
      <c r="E52">
        <v>134.47206115722659</v>
      </c>
      <c r="F52">
        <v>148.31620788574219</v>
      </c>
      <c r="G52">
        <v>130.28570556640619</v>
      </c>
      <c r="H52">
        <f>AVERAGE(C52:G52)</f>
        <v>144.70075988769531</v>
      </c>
      <c r="I52">
        <f>_xlfn.STDEV.S(C52:G52)</f>
        <v>11.999501128560706</v>
      </c>
    </row>
    <row r="53" spans="2:9" x14ac:dyDescent="0.3">
      <c r="B53">
        <v>150</v>
      </c>
      <c r="C53">
        <v>141.27372741699219</v>
      </c>
      <c r="D53">
        <v>143.2638854980469</v>
      </c>
      <c r="E53">
        <v>137.30033874511719</v>
      </c>
      <c r="F53">
        <v>150.01416015625</v>
      </c>
      <c r="G53">
        <v>147.51255798339841</v>
      </c>
      <c r="H53">
        <f>AVERAGE(C53:G53)</f>
        <v>143.87293395996093</v>
      </c>
      <c r="I53">
        <f>_xlfn.STDEV.S(C53:G53)</f>
        <v>5.0320807020090745</v>
      </c>
    </row>
    <row r="54" spans="2:9" x14ac:dyDescent="0.3">
      <c r="B54">
        <v>200</v>
      </c>
      <c r="C54">
        <v>152.3365783691406</v>
      </c>
      <c r="D54">
        <v>138.6849365234375</v>
      </c>
      <c r="E54">
        <v>134.0533142089844</v>
      </c>
      <c r="F54">
        <v>139.77244567871091</v>
      </c>
      <c r="G54">
        <v>154.40350341796881</v>
      </c>
      <c r="H54">
        <f>AVERAGE(C54:G54)</f>
        <v>143.85015563964845</v>
      </c>
      <c r="I54">
        <f>_xlfn.STDEV.S(C54:G54)</f>
        <v>8.9816177431378694</v>
      </c>
    </row>
    <row r="55" spans="2:9" x14ac:dyDescent="0.3">
      <c r="B55">
        <v>250</v>
      </c>
      <c r="C55">
        <v>135.6079406738281</v>
      </c>
      <c r="D55">
        <v>148.4432067871094</v>
      </c>
      <c r="E55">
        <v>152.3642272949219</v>
      </c>
      <c r="F55">
        <v>153.7471618652344</v>
      </c>
      <c r="G55">
        <v>160.49839782714841</v>
      </c>
      <c r="H55">
        <f>AVERAGE(C55:G55)</f>
        <v>150.13218688964844</v>
      </c>
      <c r="I55">
        <f>_xlfn.STDEV.S(C55:G55)</f>
        <v>9.2102491764633374</v>
      </c>
    </row>
    <row r="56" spans="2:9" x14ac:dyDescent="0.3">
      <c r="B56">
        <v>400</v>
      </c>
      <c r="C56">
        <v>153.17753601074219</v>
      </c>
      <c r="D56">
        <v>142.2877197265625</v>
      </c>
      <c r="E56">
        <v>140.61688232421881</v>
      </c>
      <c r="F56">
        <v>143.37931823730469</v>
      </c>
      <c r="G56">
        <v>136.76336669921881</v>
      </c>
      <c r="H56">
        <f>AVERAGE(C56:G56)</f>
        <v>143.24496459960938</v>
      </c>
      <c r="I56">
        <f>_xlfn.STDEV.S(C56:G56)</f>
        <v>6.0931984883302235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Weronika Gozdera</dc:creator>
  <cp:lastModifiedBy>Weronika Gozdera</cp:lastModifiedBy>
  <dcterms:created xsi:type="dcterms:W3CDTF">2025-06-09T18:51:36Z</dcterms:created>
  <dcterms:modified xsi:type="dcterms:W3CDTF">2025-06-09T22:40:06Z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039641-b25d-4728-8e8b-0459e2c0a6e6_Enabled">
    <vt:lpwstr>true</vt:lpwstr>
  </property>
  <property fmtid="{D5CDD505-2E9C-101B-9397-08002B2CF9AE}" pid="3" name="MSIP_Label_e3039641-b25d-4728-8e8b-0459e2c0a6e6_SetDate">
    <vt:lpwstr>2025-06-09T22:15:57Z</vt:lpwstr>
  </property>
  <property fmtid="{D5CDD505-2E9C-101B-9397-08002B2CF9AE}" pid="4" name="MSIP_Label_e3039641-b25d-4728-8e8b-0459e2c0a6e6_Method">
    <vt:lpwstr>Standard</vt:lpwstr>
  </property>
  <property fmtid="{D5CDD505-2E9C-101B-9397-08002B2CF9AE}" pid="5" name="MSIP_Label_e3039641-b25d-4728-8e8b-0459e2c0a6e6_Name">
    <vt:lpwstr>Regular</vt:lpwstr>
  </property>
  <property fmtid="{D5CDD505-2E9C-101B-9397-08002B2CF9AE}" pid="6" name="MSIP_Label_e3039641-b25d-4728-8e8b-0459e2c0a6e6_SiteId">
    <vt:lpwstr>888d5a15-2cbe-4e8b-b206-35923762a297</vt:lpwstr>
  </property>
  <property fmtid="{D5CDD505-2E9C-101B-9397-08002B2CF9AE}" pid="7" name="MSIP_Label_e3039641-b25d-4728-8e8b-0459e2c0a6e6_ActionId">
    <vt:lpwstr>df011428-0585-490f-8790-fdd1588a3be2</vt:lpwstr>
  </property>
  <property fmtid="{D5CDD505-2E9C-101B-9397-08002B2CF9AE}" pid="8" name="MSIP_Label_e3039641-b25d-4728-8e8b-0459e2c0a6e6_ContentBits">
    <vt:lpwstr>0</vt:lpwstr>
  </property>
  <property fmtid="{D5CDD505-2E9C-101B-9397-08002B2CF9AE}" pid="9" name="MSIP_Label_e3039641-b25d-4728-8e8b-0459e2c0a6e6_Tag">
    <vt:lpwstr>10, 3, 0, 1</vt:lpwstr>
  </property>
</Properties>
</file>