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onikaGozdera\Downloads\"/>
    </mc:Choice>
  </mc:AlternateContent>
  <xr:revisionPtr revIDLastSave="0" documentId="8_{DE3E092F-61EB-455B-B8C3-CA72964C8E79}" xr6:coauthVersionLast="47" xr6:coauthVersionMax="47" xr10:uidLastSave="{00000000-0000-0000-0000-000000000000}"/>
  <bookViews>
    <workbookView xWindow="-107" yWindow="-107" windowWidth="20847" windowHeight="11111" xr2:uid="{19035914-71F1-4525-893B-38E67D6B5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F48" i="1"/>
  <c r="G44" i="1"/>
  <c r="F44" i="1"/>
  <c r="G39" i="1"/>
  <c r="F39" i="1"/>
  <c r="G34" i="1"/>
  <c r="F34" i="1"/>
  <c r="G52" i="1"/>
  <c r="F52" i="1"/>
  <c r="G51" i="1"/>
  <c r="F51" i="1"/>
  <c r="G50" i="1"/>
  <c r="F50" i="1"/>
  <c r="G49" i="1"/>
  <c r="F49" i="1"/>
  <c r="G43" i="1"/>
  <c r="F43" i="1"/>
  <c r="G45" i="1"/>
  <c r="F45" i="1"/>
  <c r="G40" i="1"/>
  <c r="F40" i="1"/>
  <c r="G38" i="1"/>
  <c r="F38" i="1"/>
  <c r="G35" i="1"/>
  <c r="F35" i="1"/>
  <c r="G33" i="1"/>
  <c r="F33" i="1"/>
  <c r="G30" i="1"/>
  <c r="F30" i="1"/>
  <c r="G28" i="1"/>
  <c r="F28" i="1"/>
  <c r="G23" i="1"/>
  <c r="F23" i="1"/>
  <c r="G29" i="1"/>
  <c r="F29" i="1"/>
  <c r="G25" i="1"/>
  <c r="F25" i="1"/>
  <c r="G24" i="1"/>
  <c r="F2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</calcChain>
</file>

<file path=xl/sharedStrings.xml><?xml version="1.0" encoding="utf-8"?>
<sst xmlns="http://schemas.openxmlformats.org/spreadsheetml/2006/main" count="65" uniqueCount="29">
  <si>
    <t>config</t>
  </si>
  <si>
    <t>nz</t>
  </si>
  <si>
    <t>ngf</t>
  </si>
  <si>
    <t>ndf</t>
  </si>
  <si>
    <t>lr</t>
  </si>
  <si>
    <t>epochs</t>
  </si>
  <si>
    <t>beta1</t>
  </si>
  <si>
    <t>fid_44</t>
  </si>
  <si>
    <t>cfg0_nz100_ngf64_ndf64_lr0.0002_epochs120_beta10.5_seed44</t>
  </si>
  <si>
    <t>cfg1_nz120_ngf64_ndf64_lr0.0002_epochs120_beta10.5_seed44</t>
  </si>
  <si>
    <t>cfg2_nz64_ngf64_ndf64_lr0.0002_epochs120_beta10.5_seed44</t>
  </si>
  <si>
    <t>cfg3_nz100_ngf32_ndf64_lr0.0002_epochs120_beta10.5_seed44</t>
  </si>
  <si>
    <t>cfg4_nz100_ngf128_ndf64_lr0.0002_epochs120_beta10.5_seed44</t>
  </si>
  <si>
    <t>cfg5_nz100_ngf64_ndf32_lr0.0002_epochs120_beta10.5_seed44</t>
  </si>
  <si>
    <t>cfg6_nz100_ngf64_ndf128_lr0.0002_epochs120_beta10.5_seed44</t>
  </si>
  <si>
    <t>cfg7_nz100_ngf64_ndf64_lr0.0001_epochs120_beta10.5_seed44</t>
  </si>
  <si>
    <t>cfg8_nz100_ngf64_ndf64_lr0.0003_epochs120_beta10.5_seed44</t>
  </si>
  <si>
    <t>cfg9_nz100_ngf64_ndf64_lr0.0002_epochs150_beta10.5_seed44</t>
  </si>
  <si>
    <t>cfg10_nz100_ngf64_ndf64_lr0.0002_epochs200_beta10.5_seed44</t>
  </si>
  <si>
    <t>cfg11_nz100_ngf64_ndf64_lr0.0002_epochs120_beta10.6_seed44</t>
  </si>
  <si>
    <t>cfg12_nz100_ngf64_ndf64_lr0.0002_epochs120_beta10.4_seed44</t>
  </si>
  <si>
    <t>cfg13_nz100_ngf64_ndf64_lr0.0002_epochs250_beta10.5_seed44</t>
  </si>
  <si>
    <t>cfg14_nz64_ngf64_ndf64_lr0.0002_epochs250_beta10.5_seed44</t>
  </si>
  <si>
    <t>cfg15_nz100_ngf64_ndf64_lr0.0002_epochs400_beta10.5_seed44</t>
  </si>
  <si>
    <t>cfg16_nz64_ngf64_ndf64_lr0.0002_epochs400_beta10.5_seed44</t>
  </si>
  <si>
    <t>fid_42</t>
  </si>
  <si>
    <t>fid_43</t>
  </si>
  <si>
    <t>mean_fid</t>
  </si>
  <si>
    <t>std_fid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</si>
</sst>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27B4-BAAE-4942-90DD-82041BD85AA3}">
  <dimension ref="A1:L52"/>
  <sheetViews>
    <sheetView tabSelected="1" workbookViewId="0">
      <selection activeCell="L22" sqref="L22:M23"/>
    </sheetView>
  </sheetViews>
  <sheetFormatPr defaultRowHeight="1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25</v>
      </c>
      <c r="I1" s="7" t="s">
        <v>26</v>
      </c>
      <c r="J1" s="2" t="s">
        <v>7</v>
      </c>
      <c r="K1" s="3" t="s">
        <v>27</v>
      </c>
      <c r="L1" s="3" t="s">
        <v>28</v>
      </c>
    </row>
    <row r="2" spans="1:12" x14ac:dyDescent="0.3">
      <c r="A2" s="1" t="s">
        <v>8</v>
      </c>
      <c r="B2" s="1">
        <v>100</v>
      </c>
      <c r="C2" s="1">
        <v>64</v>
      </c>
      <c r="D2" s="1">
        <v>64</v>
      </c>
      <c r="E2" s="1">
        <v>2.0000000000000001E-4</v>
      </c>
      <c r="F2" s="1">
        <v>120</v>
      </c>
      <c r="G2" s="1">
        <v>0.5</v>
      </c>
      <c r="H2" s="4">
        <v>327.560546875</v>
      </c>
      <c r="I2" s="6">
        <v>321.02517700195313</v>
      </c>
      <c r="J2" s="1">
        <v>321.66754150390619</v>
      </c>
      <c r="K2">
        <f>AVERAGE(H2:J2)</f>
        <v>323.41775512695313</v>
      </c>
      <c r="L2">
        <f>_xlfn.STDEV.S(H2:J2)</f>
        <v>3.6021105811879837</v>
      </c>
    </row>
    <row r="3" spans="1:12" x14ac:dyDescent="0.3">
      <c r="A3" s="1" t="s">
        <v>9</v>
      </c>
      <c r="B3" s="1">
        <v>120</v>
      </c>
      <c r="C3" s="1">
        <v>64</v>
      </c>
      <c r="D3" s="1">
        <v>64</v>
      </c>
      <c r="E3" s="1">
        <v>2.0000000000000001E-4</v>
      </c>
      <c r="F3" s="1">
        <v>120</v>
      </c>
      <c r="G3" s="1">
        <v>0.5</v>
      </c>
      <c r="H3" s="4">
        <v>324.01568603515619</v>
      </c>
      <c r="I3" s="6">
        <v>320.94110107421881</v>
      </c>
      <c r="J3" s="1">
        <v>321.26690673828119</v>
      </c>
      <c r="K3" s="6">
        <f t="shared" ref="K3:K18" si="0">AVERAGE(H3:J3)</f>
        <v>322.07456461588544</v>
      </c>
      <c r="L3" s="6">
        <f t="shared" ref="L3:L18" si="1">_xlfn.STDEV.S(H3:J3)</f>
        <v>1.6889350508375636</v>
      </c>
    </row>
    <row r="4" spans="1:12" x14ac:dyDescent="0.3">
      <c r="A4" s="1" t="s">
        <v>10</v>
      </c>
      <c r="B4" s="1">
        <v>64</v>
      </c>
      <c r="C4" s="1">
        <v>64</v>
      </c>
      <c r="D4" s="1">
        <v>64</v>
      </c>
      <c r="E4" s="1">
        <v>2.0000000000000001E-4</v>
      </c>
      <c r="F4" s="1">
        <v>120</v>
      </c>
      <c r="G4" s="1">
        <v>0.5</v>
      </c>
      <c r="H4" s="4">
        <v>322.69442749023438</v>
      </c>
      <c r="I4" s="6">
        <v>318.242919921875</v>
      </c>
      <c r="J4" s="1">
        <v>334.59521484375</v>
      </c>
      <c r="K4" s="6">
        <f t="shared" si="0"/>
        <v>325.17752075195313</v>
      </c>
      <c r="L4" s="6">
        <f t="shared" si="1"/>
        <v>8.4542120515627897</v>
      </c>
    </row>
    <row r="5" spans="1:12" x14ac:dyDescent="0.3">
      <c r="A5" s="1" t="s">
        <v>11</v>
      </c>
      <c r="B5" s="1">
        <v>100</v>
      </c>
      <c r="C5" s="1">
        <v>32</v>
      </c>
      <c r="D5" s="1">
        <v>64</v>
      </c>
      <c r="E5" s="1">
        <v>2.0000000000000001E-4</v>
      </c>
      <c r="F5" s="1">
        <v>120</v>
      </c>
      <c r="G5" s="1">
        <v>0.5</v>
      </c>
      <c r="H5" s="4">
        <v>319.68667602539063</v>
      </c>
      <c r="I5" s="6">
        <v>325.11990356445313</v>
      </c>
      <c r="J5" s="1">
        <v>332.127685546875</v>
      </c>
      <c r="K5" s="6">
        <f t="shared" si="0"/>
        <v>325.64475504557294</v>
      </c>
      <c r="L5" s="6">
        <f t="shared" si="1"/>
        <v>6.2370891677401445</v>
      </c>
    </row>
    <row r="6" spans="1:12" x14ac:dyDescent="0.3">
      <c r="A6" s="1" t="s">
        <v>12</v>
      </c>
      <c r="B6" s="1">
        <v>100</v>
      </c>
      <c r="C6" s="1">
        <v>128</v>
      </c>
      <c r="D6" s="1">
        <v>64</v>
      </c>
      <c r="E6" s="1">
        <v>2.0000000000000001E-4</v>
      </c>
      <c r="F6" s="1">
        <v>120</v>
      </c>
      <c r="G6" s="1">
        <v>0.5</v>
      </c>
      <c r="H6" s="4">
        <v>325.26998901367188</v>
      </c>
      <c r="I6" s="6">
        <v>318.45663452148438</v>
      </c>
      <c r="J6" s="1">
        <v>320.21087646484381</v>
      </c>
      <c r="K6" s="6">
        <f t="shared" si="0"/>
        <v>321.3125</v>
      </c>
      <c r="L6" s="6">
        <f t="shared" si="1"/>
        <v>3.5377437257326103</v>
      </c>
    </row>
    <row r="7" spans="1:12" x14ac:dyDescent="0.3">
      <c r="A7" s="1" t="s">
        <v>13</v>
      </c>
      <c r="B7" s="1">
        <v>100</v>
      </c>
      <c r="C7" s="1">
        <v>64</v>
      </c>
      <c r="D7" s="1">
        <v>32</v>
      </c>
      <c r="E7" s="1">
        <v>2.0000000000000001E-4</v>
      </c>
      <c r="F7" s="1">
        <v>120</v>
      </c>
      <c r="G7" s="1">
        <v>0.5</v>
      </c>
      <c r="H7" s="4">
        <v>325.76290893554688</v>
      </c>
      <c r="I7" s="6">
        <v>321.0057373046875</v>
      </c>
      <c r="J7" s="1">
        <v>307.98593139648438</v>
      </c>
      <c r="K7" s="6">
        <f t="shared" si="0"/>
        <v>318.25152587890625</v>
      </c>
      <c r="L7" s="6">
        <f t="shared" si="1"/>
        <v>9.2029611017058599</v>
      </c>
    </row>
    <row r="8" spans="1:12" x14ac:dyDescent="0.3">
      <c r="A8" s="1" t="s">
        <v>14</v>
      </c>
      <c r="B8" s="1">
        <v>100</v>
      </c>
      <c r="C8" s="1">
        <v>64</v>
      </c>
      <c r="D8" s="1">
        <v>128</v>
      </c>
      <c r="E8" s="1">
        <v>2.0000000000000001E-4</v>
      </c>
      <c r="F8" s="1">
        <v>120</v>
      </c>
      <c r="G8" s="1">
        <v>0.5</v>
      </c>
      <c r="H8" s="4">
        <v>474.22271728515619</v>
      </c>
      <c r="I8" s="6">
        <v>337.6748046875</v>
      </c>
      <c r="J8" s="1">
        <v>469.15847778320313</v>
      </c>
      <c r="K8" s="6">
        <f t="shared" si="0"/>
        <v>427.01866658528644</v>
      </c>
      <c r="L8" s="6">
        <f t="shared" si="1"/>
        <v>77.415475678583292</v>
      </c>
    </row>
    <row r="9" spans="1:12" x14ac:dyDescent="0.3">
      <c r="A9" s="1" t="s">
        <v>15</v>
      </c>
      <c r="B9" s="1">
        <v>100</v>
      </c>
      <c r="C9" s="1">
        <v>64</v>
      </c>
      <c r="D9" s="1">
        <v>64</v>
      </c>
      <c r="E9" s="1">
        <v>1E-4</v>
      </c>
      <c r="F9" s="1">
        <v>120</v>
      </c>
      <c r="G9" s="1">
        <v>0.5</v>
      </c>
      <c r="H9" s="4">
        <v>321.36434936523438</v>
      </c>
      <c r="I9" s="6">
        <v>321.03170776367188</v>
      </c>
      <c r="J9" s="1">
        <v>323.57809448242188</v>
      </c>
      <c r="K9" s="6">
        <f t="shared" si="0"/>
        <v>321.99138387044269</v>
      </c>
      <c r="L9" s="6">
        <f t="shared" si="1"/>
        <v>1.3841605880092065</v>
      </c>
    </row>
    <row r="10" spans="1:12" x14ac:dyDescent="0.3">
      <c r="A10" s="1" t="s">
        <v>16</v>
      </c>
      <c r="B10" s="1">
        <v>100</v>
      </c>
      <c r="C10" s="1">
        <v>64</v>
      </c>
      <c r="D10" s="1">
        <v>64</v>
      </c>
      <c r="E10" s="1">
        <v>2.9999999999999997E-4</v>
      </c>
      <c r="F10" s="1">
        <v>120</v>
      </c>
      <c r="G10" s="1">
        <v>0.5</v>
      </c>
      <c r="H10" s="4">
        <v>335.6162109375</v>
      </c>
      <c r="I10" s="6">
        <v>326.3560791015625</v>
      </c>
      <c r="J10" s="1">
        <v>327.80474853515619</v>
      </c>
      <c r="K10" s="6">
        <f t="shared" si="0"/>
        <v>329.92567952473956</v>
      </c>
      <c r="L10" s="6">
        <f t="shared" si="1"/>
        <v>4.9810914066765655</v>
      </c>
    </row>
    <row r="11" spans="1:12" x14ac:dyDescent="0.3">
      <c r="A11" s="1" t="s">
        <v>17</v>
      </c>
      <c r="B11" s="1">
        <v>100</v>
      </c>
      <c r="C11" s="1">
        <v>64</v>
      </c>
      <c r="D11" s="1">
        <v>64</v>
      </c>
      <c r="E11" s="1">
        <v>2.0000000000000001E-4</v>
      </c>
      <c r="F11" s="1">
        <v>150</v>
      </c>
      <c r="G11" s="1">
        <v>0.5</v>
      </c>
      <c r="H11" s="4">
        <v>320.30621337890619</v>
      </c>
      <c r="I11" s="6">
        <v>317.28607177734381</v>
      </c>
      <c r="J11" s="1">
        <v>314.497802734375</v>
      </c>
      <c r="K11" s="6">
        <f t="shared" si="0"/>
        <v>317.36336263020831</v>
      </c>
      <c r="L11" s="6">
        <f t="shared" si="1"/>
        <v>2.9049765852461209</v>
      </c>
    </row>
    <row r="12" spans="1:12" x14ac:dyDescent="0.3">
      <c r="A12" s="1" t="s">
        <v>18</v>
      </c>
      <c r="B12" s="1">
        <v>100</v>
      </c>
      <c r="C12" s="1">
        <v>64</v>
      </c>
      <c r="D12" s="1">
        <v>64</v>
      </c>
      <c r="E12" s="1">
        <v>2.0000000000000001E-4</v>
      </c>
      <c r="F12" s="1">
        <v>200</v>
      </c>
      <c r="G12" s="1">
        <v>0.5</v>
      </c>
      <c r="H12" s="4">
        <v>330.71212768554688</v>
      </c>
      <c r="I12" s="6">
        <v>318.990966796875</v>
      </c>
      <c r="J12" s="1">
        <v>326.07833862304688</v>
      </c>
      <c r="K12" s="6">
        <f t="shared" si="0"/>
        <v>325.26047770182294</v>
      </c>
      <c r="L12" s="6">
        <f t="shared" si="1"/>
        <v>5.9032258562062312</v>
      </c>
    </row>
    <row r="13" spans="1:12" x14ac:dyDescent="0.3">
      <c r="A13" s="1" t="s">
        <v>19</v>
      </c>
      <c r="B13" s="1">
        <v>100</v>
      </c>
      <c r="C13" s="1">
        <v>64</v>
      </c>
      <c r="D13" s="1">
        <v>64</v>
      </c>
      <c r="E13" s="1">
        <v>2.0000000000000001E-4</v>
      </c>
      <c r="F13" s="1">
        <v>120</v>
      </c>
      <c r="G13" s="1">
        <v>0.6</v>
      </c>
      <c r="H13" s="4">
        <v>336.40353393554688</v>
      </c>
      <c r="I13" s="6">
        <v>327.41421508789063</v>
      </c>
      <c r="J13" s="1">
        <v>321.85116577148438</v>
      </c>
      <c r="K13" s="6">
        <f>AVERAGE(H13:J13)</f>
        <v>328.55630493164063</v>
      </c>
      <c r="L13" s="6">
        <f>_xlfn.STDEV.S(H13:J13)</f>
        <v>7.3431009596765469</v>
      </c>
    </row>
    <row r="14" spans="1:12" x14ac:dyDescent="0.3">
      <c r="A14" s="1" t="s">
        <v>20</v>
      </c>
      <c r="B14" s="1">
        <v>100</v>
      </c>
      <c r="C14" s="1">
        <v>64</v>
      </c>
      <c r="D14" s="1">
        <v>64</v>
      </c>
      <c r="E14" s="1">
        <v>2.0000000000000001E-4</v>
      </c>
      <c r="F14" s="1">
        <v>120</v>
      </c>
      <c r="G14" s="1">
        <v>0.4</v>
      </c>
      <c r="H14" s="4">
        <v>326.6002197265625</v>
      </c>
      <c r="I14" s="6">
        <v>322.40036010742188</v>
      </c>
      <c r="J14" s="1">
        <v>330.35931396484381</v>
      </c>
      <c r="K14" s="6">
        <f>AVERAGE(H14:J14)</f>
        <v>326.45329793294269</v>
      </c>
      <c r="L14" s="6">
        <f>_xlfn.STDEV.S(H14:J14)</f>
        <v>3.9815105344860262</v>
      </c>
    </row>
    <row r="15" spans="1:12" x14ac:dyDescent="0.3">
      <c r="A15" s="1" t="s">
        <v>21</v>
      </c>
      <c r="B15" s="1">
        <v>100</v>
      </c>
      <c r="C15" s="1">
        <v>64</v>
      </c>
      <c r="D15" s="1">
        <v>64</v>
      </c>
      <c r="E15" s="1">
        <v>2.0000000000000001E-4</v>
      </c>
      <c r="F15" s="1">
        <v>250</v>
      </c>
      <c r="G15" s="1">
        <v>0.5</v>
      </c>
      <c r="H15" s="4">
        <v>318.39593505859381</v>
      </c>
      <c r="I15" s="6">
        <v>313.65786743164063</v>
      </c>
      <c r="J15" s="1">
        <v>318.18270874023438</v>
      </c>
      <c r="K15" s="6">
        <f t="shared" si="0"/>
        <v>316.74550374348956</v>
      </c>
      <c r="L15" s="6">
        <f t="shared" si="1"/>
        <v>2.676096011244093</v>
      </c>
    </row>
    <row r="16" spans="1:12" x14ac:dyDescent="0.3">
      <c r="A16" s="1" t="s">
        <v>22</v>
      </c>
      <c r="B16" s="1">
        <v>64</v>
      </c>
      <c r="C16" s="1">
        <v>64</v>
      </c>
      <c r="D16" s="1">
        <v>64</v>
      </c>
      <c r="E16" s="1">
        <v>2.0000000000000001E-4</v>
      </c>
      <c r="F16" s="1">
        <v>250</v>
      </c>
      <c r="G16" s="1">
        <v>0.5</v>
      </c>
      <c r="H16" s="4">
        <v>320.45034790039063</v>
      </c>
      <c r="I16" s="6">
        <v>319.17416381835938</v>
      </c>
      <c r="J16" s="1">
        <v>318.09027099609381</v>
      </c>
      <c r="K16" s="6">
        <f t="shared" si="0"/>
        <v>319.23826090494794</v>
      </c>
      <c r="L16" s="6">
        <f t="shared" si="1"/>
        <v>1.1813433353308722</v>
      </c>
    </row>
    <row r="17" spans="1:12" x14ac:dyDescent="0.3">
      <c r="A17" s="1" t="s">
        <v>23</v>
      </c>
      <c r="B17" s="1">
        <v>100</v>
      </c>
      <c r="C17" s="1">
        <v>64</v>
      </c>
      <c r="D17" s="1">
        <v>64</v>
      </c>
      <c r="E17" s="1">
        <v>2.0000000000000001E-4</v>
      </c>
      <c r="F17" s="1">
        <v>400</v>
      </c>
      <c r="G17" s="1">
        <v>0.5</v>
      </c>
      <c r="H17" s="4">
        <v>313.57489013671881</v>
      </c>
      <c r="I17" s="6">
        <v>314.5833740234375</v>
      </c>
      <c r="J17" s="1">
        <v>314.88833618164063</v>
      </c>
      <c r="K17" s="6">
        <f t="shared" si="0"/>
        <v>314.34886678059894</v>
      </c>
      <c r="L17" s="6">
        <f t="shared" si="1"/>
        <v>0.68740844003982526</v>
      </c>
    </row>
    <row r="18" spans="1:12" x14ac:dyDescent="0.3">
      <c r="A18" s="1" t="s">
        <v>24</v>
      </c>
      <c r="B18" s="1">
        <v>64</v>
      </c>
      <c r="C18" s="1">
        <v>64</v>
      </c>
      <c r="D18" s="1">
        <v>64</v>
      </c>
      <c r="E18" s="1">
        <v>2.0000000000000001E-4</v>
      </c>
      <c r="F18" s="1">
        <v>400</v>
      </c>
      <c r="G18" s="1">
        <v>0.5</v>
      </c>
      <c r="H18" s="4">
        <v>320.9031982421875</v>
      </c>
      <c r="I18" s="6">
        <v>327.75625610351563</v>
      </c>
      <c r="J18" s="1">
        <v>322.36203002929688</v>
      </c>
      <c r="K18" s="6">
        <f t="shared" si="0"/>
        <v>323.673828125</v>
      </c>
      <c r="L18" s="6">
        <f t="shared" si="1"/>
        <v>3.6099461485727957</v>
      </c>
    </row>
    <row r="22" spans="1:12" x14ac:dyDescent="0.3">
      <c r="B22" s="7" t="s">
        <v>1</v>
      </c>
      <c r="C22" s="7" t="s">
        <v>25</v>
      </c>
      <c r="D22" s="7" t="s">
        <v>26</v>
      </c>
      <c r="E22" s="7" t="s">
        <v>7</v>
      </c>
      <c r="F22" s="3" t="s">
        <v>27</v>
      </c>
      <c r="G22" s="3" t="s">
        <v>28</v>
      </c>
    </row>
    <row r="23" spans="1:12" x14ac:dyDescent="0.3">
      <c r="B23" s="6">
        <v>64</v>
      </c>
      <c r="C23" s="6">
        <v>322.69442749023438</v>
      </c>
      <c r="D23" s="6">
        <v>318.242919921875</v>
      </c>
      <c r="E23" s="6">
        <v>334.59521484375</v>
      </c>
      <c r="F23" s="6">
        <f>AVERAGE(C23:E23)</f>
        <v>325.17752075195313</v>
      </c>
      <c r="G23" s="6">
        <f>_xlfn.STDEV.S(C23:E23)</f>
        <v>8.4542120515627897</v>
      </c>
    </row>
    <row r="24" spans="1:12" x14ac:dyDescent="0.3">
      <c r="B24" s="6">
        <v>100</v>
      </c>
      <c r="C24" s="6">
        <v>327.560546875</v>
      </c>
      <c r="D24" s="6">
        <v>321.02517700195313</v>
      </c>
      <c r="E24" s="6">
        <v>321.66754150390619</v>
      </c>
      <c r="F24" s="6">
        <f>AVERAGE(C24:E24)</f>
        <v>323.41775512695313</v>
      </c>
      <c r="G24" s="6">
        <f>_xlfn.STDEV.S(C24:E24)</f>
        <v>3.6021105811879837</v>
      </c>
    </row>
    <row r="25" spans="1:12" x14ac:dyDescent="0.3">
      <c r="B25" s="6">
        <v>120</v>
      </c>
      <c r="C25" s="6">
        <v>324.01568603515619</v>
      </c>
      <c r="D25" s="6">
        <v>320.94110107421881</v>
      </c>
      <c r="E25" s="6">
        <v>321.26690673828119</v>
      </c>
      <c r="F25" s="6">
        <f>AVERAGE(C25:E25)</f>
        <v>322.07456461588544</v>
      </c>
      <c r="G25" s="6">
        <f>_xlfn.STDEV.S(C25:E25)</f>
        <v>1.6889350508375636</v>
      </c>
    </row>
    <row r="27" spans="1:12" x14ac:dyDescent="0.3">
      <c r="B27" s="7" t="s">
        <v>2</v>
      </c>
      <c r="C27" s="7" t="s">
        <v>25</v>
      </c>
      <c r="D27" s="7" t="s">
        <v>26</v>
      </c>
      <c r="E27" s="7" t="s">
        <v>7</v>
      </c>
      <c r="F27" s="3" t="s">
        <v>27</v>
      </c>
      <c r="G27" s="3" t="s">
        <v>28</v>
      </c>
    </row>
    <row r="28" spans="1:12" x14ac:dyDescent="0.3">
      <c r="B28" s="6">
        <v>32</v>
      </c>
      <c r="C28" s="6">
        <v>319.68667602539063</v>
      </c>
      <c r="D28" s="6">
        <v>325.11990356445313</v>
      </c>
      <c r="E28" s="6">
        <v>332.127685546875</v>
      </c>
      <c r="F28" s="6">
        <f t="shared" ref="F28" si="2">AVERAGE(C28:E28)</f>
        <v>325.64475504557294</v>
      </c>
      <c r="G28" s="6">
        <f t="shared" ref="G28" si="3">_xlfn.STDEV.S(C28:E28)</f>
        <v>6.2370891677401445</v>
      </c>
    </row>
    <row r="29" spans="1:12" x14ac:dyDescent="0.3">
      <c r="B29" s="6">
        <v>64</v>
      </c>
      <c r="C29" s="6">
        <v>322.69442749023438</v>
      </c>
      <c r="D29" s="6">
        <v>318.242919921875</v>
      </c>
      <c r="E29" s="6">
        <v>334.59521484375</v>
      </c>
      <c r="F29" s="6">
        <f>AVERAGE(C29:E29)</f>
        <v>325.17752075195313</v>
      </c>
      <c r="G29" s="6">
        <f>_xlfn.STDEV.S(C29:E29)</f>
        <v>8.4542120515627897</v>
      </c>
    </row>
    <row r="30" spans="1:12" x14ac:dyDescent="0.3">
      <c r="B30" s="6">
        <v>128</v>
      </c>
      <c r="C30" s="6">
        <v>325.26998901367188</v>
      </c>
      <c r="D30" s="6">
        <v>318.45663452148438</v>
      </c>
      <c r="E30" s="6">
        <v>320.21087646484381</v>
      </c>
      <c r="F30" s="6">
        <f t="shared" ref="F30" si="4">AVERAGE(C30:E30)</f>
        <v>321.3125</v>
      </c>
      <c r="G30" s="6">
        <f t="shared" ref="G30" si="5">_xlfn.STDEV.S(C30:E30)</f>
        <v>3.5377437257326103</v>
      </c>
    </row>
    <row r="32" spans="1:12" x14ac:dyDescent="0.3">
      <c r="B32" s="7" t="s">
        <v>3</v>
      </c>
      <c r="C32" s="7" t="s">
        <v>25</v>
      </c>
      <c r="D32" s="7" t="s">
        <v>26</v>
      </c>
      <c r="E32" s="7" t="s">
        <v>7</v>
      </c>
      <c r="F32" s="3" t="s">
        <v>27</v>
      </c>
      <c r="G32" s="3" t="s">
        <v>28</v>
      </c>
    </row>
    <row r="33" spans="2:7" x14ac:dyDescent="0.3">
      <c r="B33" s="6">
        <v>32</v>
      </c>
      <c r="C33" s="6">
        <v>325.76290893554688</v>
      </c>
      <c r="D33" s="6">
        <v>321.0057373046875</v>
      </c>
      <c r="E33" s="6">
        <v>307.98593139648438</v>
      </c>
      <c r="F33" s="6">
        <f t="shared" ref="F33:F34" si="6">AVERAGE(C33:E33)</f>
        <v>318.25152587890625</v>
      </c>
      <c r="G33" s="6">
        <f t="shared" ref="G33:G34" si="7">_xlfn.STDEV.S(C33:E33)</f>
        <v>9.2029611017058599</v>
      </c>
    </row>
    <row r="34" spans="2:7" x14ac:dyDescent="0.3">
      <c r="B34" s="6">
        <v>64</v>
      </c>
      <c r="C34" s="6">
        <v>322.69442749023438</v>
      </c>
      <c r="D34" s="6">
        <v>318.242919921875</v>
      </c>
      <c r="E34" s="6">
        <v>334.59521484375</v>
      </c>
      <c r="F34" s="6">
        <f>AVERAGE(C34:E34)</f>
        <v>325.17752075195313</v>
      </c>
      <c r="G34" s="6">
        <f>_xlfn.STDEV.S(C34:E34)</f>
        <v>8.4542120515627897</v>
      </c>
    </row>
    <row r="35" spans="2:7" x14ac:dyDescent="0.3">
      <c r="B35" s="6">
        <v>128</v>
      </c>
      <c r="C35" s="6">
        <v>474.22271728515619</v>
      </c>
      <c r="D35" s="6">
        <v>337.6748046875</v>
      </c>
      <c r="E35" s="6">
        <v>469.15847778320313</v>
      </c>
      <c r="F35" s="6">
        <f>AVERAGE(C35:E35)</f>
        <v>427.01866658528644</v>
      </c>
      <c r="G35" s="6">
        <f>_xlfn.STDEV.S(C35:E35)</f>
        <v>77.415475678583292</v>
      </c>
    </row>
    <row r="37" spans="2:7" x14ac:dyDescent="0.3">
      <c r="B37" s="7" t="s">
        <v>4</v>
      </c>
      <c r="C37" s="7" t="s">
        <v>25</v>
      </c>
      <c r="D37" s="7" t="s">
        <v>26</v>
      </c>
      <c r="E37" s="7" t="s">
        <v>7</v>
      </c>
      <c r="F37" s="3" t="s">
        <v>27</v>
      </c>
      <c r="G37" s="3" t="s">
        <v>28</v>
      </c>
    </row>
    <row r="38" spans="2:7" x14ac:dyDescent="0.3">
      <c r="B38" s="6">
        <v>1E-4</v>
      </c>
      <c r="C38" s="6">
        <v>321.36434936523438</v>
      </c>
      <c r="D38" s="6">
        <v>321.03170776367188</v>
      </c>
      <c r="E38" s="6">
        <v>323.57809448242188</v>
      </c>
      <c r="F38" s="6">
        <f t="shared" ref="F38:F39" si="8">AVERAGE(C38:E38)</f>
        <v>321.99138387044269</v>
      </c>
      <c r="G38" s="6">
        <f t="shared" ref="G38:G39" si="9">_xlfn.STDEV.S(C38:E38)</f>
        <v>1.3841605880092065</v>
      </c>
    </row>
    <row r="39" spans="2:7" x14ac:dyDescent="0.3">
      <c r="B39" s="6">
        <v>2.0000000000000001E-4</v>
      </c>
      <c r="C39" s="6">
        <v>322.69442749023438</v>
      </c>
      <c r="D39" s="6">
        <v>318.242919921875</v>
      </c>
      <c r="E39" s="6">
        <v>334.59521484375</v>
      </c>
      <c r="F39" s="6">
        <f>AVERAGE(C39:E39)</f>
        <v>325.17752075195313</v>
      </c>
      <c r="G39" s="6">
        <f>_xlfn.STDEV.S(C39:E39)</f>
        <v>8.4542120515627897</v>
      </c>
    </row>
    <row r="40" spans="2:7" x14ac:dyDescent="0.3">
      <c r="B40" s="6">
        <v>2.9999999999999997E-4</v>
      </c>
      <c r="C40" s="6">
        <v>335.6162109375</v>
      </c>
      <c r="D40" s="6">
        <v>326.3560791015625</v>
      </c>
      <c r="E40" s="6">
        <v>327.80474853515619</v>
      </c>
      <c r="F40" s="6">
        <f>AVERAGE(C40:E40)</f>
        <v>329.92567952473956</v>
      </c>
      <c r="G40" s="6">
        <f>_xlfn.STDEV.S(C40:E40)</f>
        <v>4.9810914066765655</v>
      </c>
    </row>
    <row r="42" spans="2:7" x14ac:dyDescent="0.3">
      <c r="B42" s="7" t="s">
        <v>6</v>
      </c>
      <c r="C42" s="7" t="s">
        <v>25</v>
      </c>
      <c r="D42" s="7" t="s">
        <v>26</v>
      </c>
      <c r="E42" s="7" t="s">
        <v>7</v>
      </c>
      <c r="F42" s="3" t="s">
        <v>27</v>
      </c>
      <c r="G42" s="3" t="s">
        <v>28</v>
      </c>
    </row>
    <row r="43" spans="2:7" x14ac:dyDescent="0.3">
      <c r="B43" s="6">
        <v>0.4</v>
      </c>
      <c r="C43" s="6">
        <v>326.6002197265625</v>
      </c>
      <c r="D43" s="6">
        <v>322.40036010742188</v>
      </c>
      <c r="E43" s="6">
        <v>330.35931396484381</v>
      </c>
      <c r="F43" s="6">
        <f>AVERAGE(C43:E43)</f>
        <v>326.45329793294269</v>
      </c>
      <c r="G43" s="6">
        <f>_xlfn.STDEV.S(C43:E43)</f>
        <v>3.9815105344860262</v>
      </c>
    </row>
    <row r="44" spans="2:7" x14ac:dyDescent="0.3">
      <c r="B44" s="8">
        <v>0.5</v>
      </c>
      <c r="C44" s="6">
        <v>322.69442749023438</v>
      </c>
      <c r="D44" s="6">
        <v>318.242919921875</v>
      </c>
      <c r="E44" s="6">
        <v>334.59521484375</v>
      </c>
      <c r="F44" s="6">
        <f>AVERAGE(C44:E44)</f>
        <v>325.17752075195313</v>
      </c>
      <c r="G44" s="6">
        <f>_xlfn.STDEV.S(C44:E44)</f>
        <v>8.4542120515627897</v>
      </c>
    </row>
    <row r="45" spans="2:7" x14ac:dyDescent="0.3">
      <c r="B45" s="6">
        <v>0.6</v>
      </c>
      <c r="C45" s="6">
        <v>336.40353393554688</v>
      </c>
      <c r="D45" s="6">
        <v>327.41421508789063</v>
      </c>
      <c r="E45" s="6">
        <v>321.85116577148438</v>
      </c>
      <c r="F45" s="6">
        <f>AVERAGE(C45:E45)</f>
        <v>328.55630493164063</v>
      </c>
      <c r="G45" s="6">
        <f>_xlfn.STDEV.S(C45:E45)</f>
        <v>7.3431009596765469</v>
      </c>
    </row>
    <row r="47" spans="2:7" x14ac:dyDescent="0.3">
      <c r="B47" s="7" t="s">
        <v>5</v>
      </c>
      <c r="C47" s="7" t="s">
        <v>25</v>
      </c>
      <c r="D47" s="7" t="s">
        <v>26</v>
      </c>
      <c r="E47" s="7" t="s">
        <v>7</v>
      </c>
      <c r="F47" s="3" t="s">
        <v>27</v>
      </c>
      <c r="G47" s="3" t="s">
        <v>28</v>
      </c>
    </row>
    <row r="48" spans="2:7" x14ac:dyDescent="0.3">
      <c r="B48">
        <v>120</v>
      </c>
      <c r="C48" s="6">
        <v>322.69442749023438</v>
      </c>
      <c r="D48" s="6">
        <v>318.242919921875</v>
      </c>
      <c r="E48" s="6">
        <v>334.59521484375</v>
      </c>
      <c r="F48" s="6">
        <f>AVERAGE(C48:E48)</f>
        <v>325.17752075195313</v>
      </c>
      <c r="G48" s="6">
        <f>_xlfn.STDEV.S(C48:E48)</f>
        <v>8.4542120515627897</v>
      </c>
    </row>
    <row r="49" spans="2:7" x14ac:dyDescent="0.3">
      <c r="B49" s="6">
        <v>150</v>
      </c>
      <c r="C49" s="6">
        <v>320.30621337890619</v>
      </c>
      <c r="D49" s="6">
        <v>317.28607177734381</v>
      </c>
      <c r="E49" s="6">
        <v>314.497802734375</v>
      </c>
      <c r="F49" s="6">
        <f>AVERAGE(C49:E49)</f>
        <v>317.36336263020831</v>
      </c>
      <c r="G49" s="6">
        <f>_xlfn.STDEV.S(C49:E49)</f>
        <v>2.9049765852461209</v>
      </c>
    </row>
    <row r="50" spans="2:7" x14ac:dyDescent="0.3">
      <c r="B50" s="6">
        <v>200</v>
      </c>
      <c r="C50" s="6">
        <v>330.71212768554688</v>
      </c>
      <c r="D50" s="6">
        <v>318.990966796875</v>
      </c>
      <c r="E50" s="6">
        <v>326.07833862304688</v>
      </c>
      <c r="F50" s="6">
        <f>AVERAGE(C50:E50)</f>
        <v>325.26047770182294</v>
      </c>
      <c r="G50" s="6">
        <f>_xlfn.STDEV.S(C50:E50)</f>
        <v>5.9032258562062312</v>
      </c>
    </row>
    <row r="51" spans="2:7" x14ac:dyDescent="0.3">
      <c r="B51" s="6">
        <v>250</v>
      </c>
      <c r="C51" s="6">
        <v>318.39593505859381</v>
      </c>
      <c r="D51" s="6">
        <v>313.65786743164063</v>
      </c>
      <c r="E51" s="6">
        <v>318.18270874023438</v>
      </c>
      <c r="F51" s="6">
        <f>AVERAGE(C51:E51)</f>
        <v>316.74550374348956</v>
      </c>
      <c r="G51" s="6">
        <f>_xlfn.STDEV.S(C51:E51)</f>
        <v>2.676096011244093</v>
      </c>
    </row>
    <row r="52" spans="2:7" x14ac:dyDescent="0.3">
      <c r="B52" s="6">
        <v>400</v>
      </c>
      <c r="C52" s="6">
        <v>313.57489013671881</v>
      </c>
      <c r="D52" s="6">
        <v>314.5833740234375</v>
      </c>
      <c r="E52" s="6">
        <v>314.88833618164063</v>
      </c>
      <c r="F52" s="6">
        <f>AVERAGE(C52:E52)</f>
        <v>314.34886678059894</v>
      </c>
      <c r="G52" s="6">
        <f>_xlfn.STDEV.S(C52:E52)</f>
        <v>0.68740844003982526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Gozdera</dc:creator>
  <cp:lastModifiedBy>Weronika Gozdera</cp:lastModifiedBy>
  <dcterms:created xsi:type="dcterms:W3CDTF">2025-06-09T22:16:04Z</dcterms:created>
  <dcterms:modified xsi:type="dcterms:W3CDTF">2025-06-10T06:19:04Z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039641-b25d-4728-8e8b-0459e2c0a6e6_Enabled">
    <vt:lpwstr>true</vt:lpwstr>
  </property>
  <property fmtid="{D5CDD505-2E9C-101B-9397-08002B2CF9AE}" pid="3" name="MSIP_Label_e3039641-b25d-4728-8e8b-0459e2c0a6e6_SetDate">
    <vt:lpwstr>2025-06-10T06:18:53Z</vt:lpwstr>
  </property>
  <property fmtid="{D5CDD505-2E9C-101B-9397-08002B2CF9AE}" pid="4" name="MSIP_Label_e3039641-b25d-4728-8e8b-0459e2c0a6e6_Method">
    <vt:lpwstr>Standard</vt:lpwstr>
  </property>
  <property fmtid="{D5CDD505-2E9C-101B-9397-08002B2CF9AE}" pid="5" name="MSIP_Label_e3039641-b25d-4728-8e8b-0459e2c0a6e6_Name">
    <vt:lpwstr>Regular</vt:lpwstr>
  </property>
  <property fmtid="{D5CDD505-2E9C-101B-9397-08002B2CF9AE}" pid="6" name="MSIP_Label_e3039641-b25d-4728-8e8b-0459e2c0a6e6_SiteId">
    <vt:lpwstr>888d5a15-2cbe-4e8b-b206-35923762a297</vt:lpwstr>
  </property>
  <property fmtid="{D5CDD505-2E9C-101B-9397-08002B2CF9AE}" pid="7" name="MSIP_Label_e3039641-b25d-4728-8e8b-0459e2c0a6e6_ActionId">
    <vt:lpwstr>2e93e9eb-e9bd-47fc-b530-8ea3a8120a79</vt:lpwstr>
  </property>
  <property fmtid="{D5CDD505-2E9C-101B-9397-08002B2CF9AE}" pid="8" name="MSIP_Label_e3039641-b25d-4728-8e8b-0459e2c0a6e6_ContentBits">
    <vt:lpwstr>0</vt:lpwstr>
  </property>
  <property fmtid="{D5CDD505-2E9C-101B-9397-08002B2CF9AE}" pid="9" name="MSIP_Label_e3039641-b25d-4728-8e8b-0459e2c0a6e6_Tag">
    <vt:lpwstr>10, 3, 0, 1</vt:lpwstr>
  </property>
</Properties>
</file>